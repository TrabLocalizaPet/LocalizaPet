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Testes" sheetId="1" r:id="rId5"/>
    <sheet state="visible" name="Resumo QA" sheetId="2" r:id="rId6"/>
    <sheet state="visible" name="Legenda" sheetId="3" r:id="rId7"/>
  </sheets>
  <definedNames>
    <definedName hidden="1" localSheetId="0" name="_xlnm._FilterDatabase">'Matriz de Testes'!$A$1:$H$76</definedName>
  </definedNames>
  <calcPr/>
</workbook>
</file>

<file path=xl/sharedStrings.xml><?xml version="1.0" encoding="utf-8"?>
<sst xmlns="http://schemas.openxmlformats.org/spreadsheetml/2006/main" count="481" uniqueCount="297">
  <si>
    <t>ID</t>
  </si>
  <si>
    <t>Indicador</t>
  </si>
  <si>
    <t>Requisito / Regra</t>
  </si>
  <si>
    <t>Caso de teste</t>
  </si>
  <si>
    <t>Prioridade</t>
  </si>
  <si>
    <t>Resultado esperado</t>
  </si>
  <si>
    <t>Status</t>
  </si>
  <si>
    <t>Evidência</t>
  </si>
  <si>
    <t>Bug / Observação</t>
  </si>
  <si>
    <t>Valor</t>
  </si>
  <si>
    <t>CT-01</t>
  </si>
  <si>
    <t>Total de casos</t>
  </si>
  <si>
    <t>RF-01</t>
  </si>
  <si>
    <t>Publicar anúncio de animal perdido com espécie e localização válidas</t>
  </si>
  <si>
    <t>Alta</t>
  </si>
  <si>
    <t>Anúncio perdido é criado com os dados informados.</t>
  </si>
  <si>
    <t>Passou</t>
  </si>
  <si>
    <t>CT-02</t>
  </si>
  <si>
    <t>Tentar publicar anúncio perdido sem localização</t>
  </si>
  <si>
    <t>Casos Críticos</t>
  </si>
  <si>
    <t>Sistema impede a publicação sem localização.</t>
  </si>
  <si>
    <t>CT-03</t>
  </si>
  <si>
    <t>RF-02</t>
  </si>
  <si>
    <t>Campo</t>
  </si>
  <si>
    <t>Publicar animal encontrado sem informar nome</t>
  </si>
  <si>
    <t>Anúncio é criado sem exigir nome do animal.</t>
  </si>
  <si>
    <t>CT-04</t>
  </si>
  <si>
    <t>Publicar animal encontrado informando nome</t>
  </si>
  <si>
    <t>Média</t>
  </si>
  <si>
    <t>Anúncio é criado normalmente com o nome informado.</t>
  </si>
  <si>
    <t>CT-05</t>
  </si>
  <si>
    <t>RF-03</t>
  </si>
  <si>
    <t>Publicar animal para adoção sem localização</t>
  </si>
  <si>
    <t>Anúncio de adoção é criado sem exigir local.</t>
  </si>
  <si>
    <t>Casos Alta</t>
  </si>
  <si>
    <t>CT-06</t>
  </si>
  <si>
    <t>RF-04</t>
  </si>
  <si>
    <t>Selecionar localização clicando no mapa</t>
  </si>
  <si>
    <t>Local selecionado no mapa é associado ao anúncio.</t>
  </si>
  <si>
    <t>CT-07</t>
  </si>
  <si>
    <t>Alterar localização selecionada no mapa</t>
  </si>
  <si>
    <t>Sistema atualiza a localização para o novo ponto selecionado.</t>
  </si>
  <si>
    <t>CT-08</t>
  </si>
  <si>
    <t>RF-05</t>
  </si>
  <si>
    <t>Anexar uma foto válida</t>
  </si>
  <si>
    <t>Valores</t>
  </si>
  <si>
    <t>Casos Média</t>
  </si>
  <si>
    <t>Uso</t>
  </si>
  <si>
    <t>Foto é aceita e vinculada ao anúncio.</t>
  </si>
  <si>
    <t>CT-09</t>
  </si>
  <si>
    <t>Anexar exatamente 6 fotos</t>
  </si>
  <si>
    <t>Pendente | Passou | Falhou | Bloqueado | N/A</t>
  </si>
  <si>
    <t>As 6 fotos são aceitas e vinculadas ao anúncio.</t>
  </si>
  <si>
    <t>Atualizar durante a execução dos testes.</t>
  </si>
  <si>
    <t>CT-10</t>
  </si>
  <si>
    <t>Crítica | Alta | Média | Baixa</t>
  </si>
  <si>
    <t>Tentar anexar 7 fotos</t>
  </si>
  <si>
    <t>Prioridade inicial definida para a execução.</t>
  </si>
  <si>
    <t>Sistema impede o envio da sétima foto.</t>
  </si>
  <si>
    <t>Casos Baixa</t>
  </si>
  <si>
    <t>não exibe aviso, mas não é possível inserir mais fotos</t>
  </si>
  <si>
    <t>CT-11</t>
  </si>
  <si>
    <t>RF-06</t>
  </si>
  <si>
    <t>Selecionar característica disponível no catálogo</t>
  </si>
  <si>
    <t>Característica selecionada é associada ao anúncio.</t>
  </si>
  <si>
    <t>CT-12</t>
  </si>
  <si>
    <t>Tentar inserir característica fora do catálogo</t>
  </si>
  <si>
    <t>Pendentes</t>
  </si>
  <si>
    <t>Sistema não permite característica que não pertença ao catálogo.</t>
  </si>
  <si>
    <t>CT-13</t>
  </si>
  <si>
    <t>RF-07</t>
  </si>
  <si>
    <t>Selecionar coordenada e verificar preenchimento do endereço</t>
  </si>
  <si>
    <t>Baixa</t>
  </si>
  <si>
    <t>Endereço correspondente à coordenada é obtido/preenchido quando disponível.</t>
  </si>
  <si>
    <t>CT-14</t>
  </si>
  <si>
    <t>Simular falha na geocodificação</t>
  </si>
  <si>
    <t>Passaram</t>
  </si>
  <si>
    <t>Sistema trata a falha sem corromper o anúncio e informa o usuário quando necessário.</t>
  </si>
  <si>
    <t>CT-15</t>
  </si>
  <si>
    <t>RF-08</t>
  </si>
  <si>
    <t>Autor marcar o próprio anúncio como resolvido</t>
  </si>
  <si>
    <t>Anúncio passa para o estado resolvido.</t>
  </si>
  <si>
    <t>CT-16</t>
  </si>
  <si>
    <t>Verificar que anúncio resolvido não aparece entre os ativos</t>
  </si>
  <si>
    <t>Anúncio resolvido deixa de aparecer na listagem/busca de ativos.</t>
  </si>
  <si>
    <t>Falharam</t>
  </si>
  <si>
    <t>CT-17</t>
  </si>
  <si>
    <t>RF-09</t>
  </si>
  <si>
    <t>Listar anúncios ativos</t>
  </si>
  <si>
    <t>Sistema apresenta os anúncios ativos disponíveis.</t>
  </si>
  <si>
    <t>CT-18</t>
  </si>
  <si>
    <t>RF-10</t>
  </si>
  <si>
    <t>Verificar ordenação por mais recentes primeiro</t>
  </si>
  <si>
    <t>Anúncios são apresentados do mais recente para o mais antigo.</t>
  </si>
  <si>
    <t>CT-19</t>
  </si>
  <si>
    <t>RF-11</t>
  </si>
  <si>
    <t>Filtrar anúncios por perdido</t>
  </si>
  <si>
    <t>Somente anúncios do tipo perdido são apresentados.</t>
  </si>
  <si>
    <t>CT-20</t>
  </si>
  <si>
    <t>Filtrar anúncios por encontrado</t>
  </si>
  <si>
    <t>Somente anúncios do tipo encontrado são apresentados.</t>
  </si>
  <si>
    <t>CT-21</t>
  </si>
  <si>
    <t>Filtrar anúncios por adoção</t>
  </si>
  <si>
    <t>Somente anúncios do tipo adoção são apresentados.</t>
  </si>
  <si>
    <t>CT-22</t>
  </si>
  <si>
    <t>RF-12</t>
  </si>
  <si>
    <t>Buscar anúncios dentro de um raio</t>
  </si>
  <si>
    <t>Sistema retorna anúncios dentro do raio informado.</t>
  </si>
  <si>
    <t>CT-23</t>
  </si>
  <si>
    <t>RF-12/RN-15</t>
  </si>
  <si>
    <t>Buscar usando raio mínimo de 500 m</t>
  </si>
  <si>
    <t>Busca com raio de 500 m é aceita.</t>
  </si>
  <si>
    <t>Pendente</t>
  </si>
  <si>
    <t>CT-24</t>
  </si>
  <si>
    <t>Buscar usando raio máximo de 50 km</t>
  </si>
  <si>
    <t>Busca com raio de 50 km é aceita.</t>
  </si>
  <si>
    <t>CT-25</t>
  </si>
  <si>
    <t>Tentar utilizar raio inferior a 500 m</t>
  </si>
  <si>
    <t>Sistema rejeita ou impede raio abaixo de 500 m.</t>
  </si>
  <si>
    <t>CT-26</t>
  </si>
  <si>
    <t>Tentar utilizar raio superior a 50 km</t>
  </si>
  <si>
    <t>Sistema rejeita ou impede raio acima de 50 km.</t>
  </si>
  <si>
    <t>CT-27</t>
  </si>
  <si>
    <t>RF-13</t>
  </si>
  <si>
    <t>Exibir anúncios como marcadores no mapa</t>
  </si>
  <si>
    <t>Anúncios aplicáveis aparecem como marcadores no mapa.</t>
  </si>
  <si>
    <t>CT-28</t>
  </si>
  <si>
    <t>Verificar diferenciação visual por tipo de anúncio</t>
  </si>
  <si>
    <t>Marcadores apresentam diferenciação conforme o tipo definido pelo sistema.</t>
  </si>
  <si>
    <t>CT-29</t>
  </si>
  <si>
    <t>RF-14</t>
  </si>
  <si>
    <t>Utilizar localização do navegador como centro da busca/mapa</t>
  </si>
  <si>
    <t>Sistema consegue utilizar a localização do navegador quando autorizada.</t>
  </si>
  <si>
    <t>CT-30</t>
  </si>
  <si>
    <t>RF-15</t>
  </si>
  <si>
    <t>Exibir distância até o anúncio</t>
  </si>
  <si>
    <t>Distância entre a referência e o anúncio é apresentada corretamente.</t>
  </si>
  <si>
    <t>CT-31</t>
  </si>
  <si>
    <t>RF-16</t>
  </si>
  <si>
    <t>Abrir detalhe de um anúncio</t>
  </si>
  <si>
    <t>Sistema apresenta os detalhes correspondentes ao anúncio selecionado.</t>
  </si>
  <si>
    <t>CT-32</t>
  </si>
  <si>
    <t>RF-17</t>
  </si>
  <si>
    <t>Filtrar por espécie</t>
  </si>
  <si>
    <t>Resultados são filtrados conforme a espécie selecionada.</t>
  </si>
  <si>
    <t>CT-33</t>
  </si>
  <si>
    <t>Filtrar por porte</t>
  </si>
  <si>
    <t>Resultados são filtrados conforme o porte selecionado.</t>
  </si>
  <si>
    <t>CT-34</t>
  </si>
  <si>
    <t>Filtrar por característica</t>
  </si>
  <si>
    <t>Resultados são filtrados conforme a característica selecionada.</t>
  </si>
  <si>
    <t>CT-35</t>
  </si>
  <si>
    <t>RF-18</t>
  </si>
  <si>
    <t>Registrar novo avistamento</t>
  </si>
  <si>
    <t>Novo avistamento é registrado e associado ao animal/anúncio.</t>
  </si>
  <si>
    <t>CT-36</t>
  </si>
  <si>
    <t>RF-18/RN-18</t>
  </si>
  <si>
    <t>Registrar avistamento sem usuário autenticado</t>
  </si>
  <si>
    <t>Sistema permite o registro anônimo conforme regra definida.</t>
  </si>
  <si>
    <t>CT-37</t>
  </si>
  <si>
    <t>Visualizar rastro de avistamentos</t>
  </si>
  <si>
    <t>Locais dos avistamentos são apresentados conforme definido pelo sistema.</t>
  </si>
  <si>
    <t>CT-38</t>
  </si>
  <si>
    <t>RF-12/RN-14</t>
  </si>
  <si>
    <t>Verificar que a busca utiliza o avistamento mais recente</t>
  </si>
  <si>
    <t>Cálculo da busca considera a localização do avistamento mais recente.</t>
  </si>
  <si>
    <t>CT-39</t>
  </si>
  <si>
    <t>RF-19</t>
  </si>
  <si>
    <t>Criar conta com dados válidos</t>
  </si>
  <si>
    <t>Conta é criada com sucesso.</t>
  </si>
  <si>
    <t>CT-40</t>
  </si>
  <si>
    <t>RF-19/RN-25</t>
  </si>
  <si>
    <t>Criar conta com e-mail já cadastrado</t>
  </si>
  <si>
    <t>Sistema impede duplicidade de e-mail.</t>
  </si>
  <si>
    <t>CT-41</t>
  </si>
  <si>
    <t>Autenticar com credenciais válidas</t>
  </si>
  <si>
    <t>Usuário é autenticado com sucesso.</t>
  </si>
  <si>
    <t>CT-42</t>
  </si>
  <si>
    <t>Autenticar com credenciais inválidas</t>
  </si>
  <si>
    <t>Acesso é negado e sistema apresenta tratamento adequado.</t>
  </si>
  <si>
    <t>CT-43</t>
  </si>
  <si>
    <t>RF-20</t>
  </si>
  <si>
    <t>Configurar telefone como público</t>
  </si>
  <si>
    <t>Telefone fica disponível conforme autorização do usuário.</t>
  </si>
  <si>
    <t>CT-44</t>
  </si>
  <si>
    <t>Configurar telefone como privado</t>
  </si>
  <si>
    <t>Telefone não fica exposto quando configurado como privado.</t>
  </si>
  <si>
    <t>CT-45</t>
  </si>
  <si>
    <t>Visualizar telefone autorizado</t>
  </si>
  <si>
    <t>Telefone público é exibido onde previsto.</t>
  </si>
  <si>
    <t>CT-46</t>
  </si>
  <si>
    <t>RF-20/RN-26</t>
  </si>
  <si>
    <t>Verificar que telefone privado não aparece</t>
  </si>
  <si>
    <t>Telefone privado não é exposto no anúncio.</t>
  </si>
  <si>
    <t>CT-47</t>
  </si>
  <si>
    <t>RF-21</t>
  </si>
  <si>
    <t>Navegar e buscar anúncios sem autenticação</t>
  </si>
  <si>
    <t>Visitante consegue navegar e buscar anúncios sem criar conta.</t>
  </si>
  <si>
    <t>CT-48</t>
  </si>
  <si>
    <t>RF-22</t>
  </si>
  <si>
    <t>Criar área monitorada</t>
  </si>
  <si>
    <t>Área é criada com centro e raio válidos.</t>
  </si>
  <si>
    <t>CT-49</t>
  </si>
  <si>
    <t>RF-22/RN-15</t>
  </si>
  <si>
    <t>Criar área monitorada com raio válido</t>
  </si>
  <si>
    <t>Área é aceita quando o raio está dentro dos limites definidos.</t>
  </si>
  <si>
    <t>CT-50</t>
  </si>
  <si>
    <t>Desativar área monitorada</t>
  </si>
  <si>
    <t>Área é desativada sem ser excluída.</t>
  </si>
  <si>
    <t>CT-51</t>
  </si>
  <si>
    <t>RF-23</t>
  </si>
  <si>
    <t>Criar anúncio dentro de área monitorada</t>
  </si>
  <si>
    <t>Sistema gera a notificação correspondente à área monitorada.</t>
  </si>
  <si>
    <t>CT-52</t>
  </si>
  <si>
    <t>Criar anúncio fora de área monitorada</t>
  </si>
  <si>
    <t>Sistema não gera notificação para a área que não abrange o anúncio.</t>
  </si>
  <si>
    <t>CT-53</t>
  </si>
  <si>
    <t>RF-23/RN-22</t>
  </si>
  <si>
    <t>Área monitorada sem tipos específicos</t>
  </si>
  <si>
    <t>Área sem tipos específicos recebe notificações para todos os tipos conforme regra.</t>
  </si>
  <si>
    <t>CT-54</t>
  </si>
  <si>
    <t>RF-24</t>
  </si>
  <si>
    <t>Visualizar caixa de notificações</t>
  </si>
  <si>
    <t>Usuário consegue visualizar suas notificações.</t>
  </si>
  <si>
    <t>CT-55</t>
  </si>
  <si>
    <t>Marcar notificação como lida</t>
  </si>
  <si>
    <t>Notificação muda para o estado de lida.</t>
  </si>
  <si>
    <t>CT-56</t>
  </si>
  <si>
    <t>RF-24/RN-21</t>
  </si>
  <si>
    <t>Verificar tipos de notificação</t>
  </si>
  <si>
    <t>Notificações apresentam os motivos previstos: novo_na_regiao, novo_avistamento ou possivel_match.</t>
  </si>
  <si>
    <t>CT-57</t>
  </si>
  <si>
    <t>RF-30</t>
  </si>
  <si>
    <t>Administrador cadastra característica</t>
  </si>
  <si>
    <t>Administrador consegue criar característica no catálogo.</t>
  </si>
  <si>
    <t>CT-58</t>
  </si>
  <si>
    <t>Administrador edita característica</t>
  </si>
  <si>
    <t>Administrador consegue editar característica existente.</t>
  </si>
  <si>
    <t>CT-59</t>
  </si>
  <si>
    <t>Administrador desativa característica</t>
  </si>
  <si>
    <t>Administrador consegue desativar característica.</t>
  </si>
  <si>
    <t>CT-60</t>
  </si>
  <si>
    <t>Usuário comum tenta acessar administração</t>
  </si>
  <si>
    <t>Acesso administrativo é negado a usuário sem permissão.</t>
  </si>
  <si>
    <t>CT-61</t>
  </si>
  <si>
    <t>RF-30/RN-23</t>
  </si>
  <si>
    <t>Característica desativada não aparece em novo anúncio</t>
  </si>
  <si>
    <t>Característica desativada não fica disponível para novos anúncios.</t>
  </si>
  <si>
    <t>CT-62</t>
  </si>
  <si>
    <t>Característica desativada permanece em anúncio antigo</t>
  </si>
  <si>
    <t>Referência histórica à característica permanece preservada em anúncio existente.</t>
  </si>
  <si>
    <t>CT-63</t>
  </si>
  <si>
    <t>RN-20</t>
  </si>
  <si>
    <t>Criar anúncio completo atomicamente</t>
  </si>
  <si>
    <t>Anúncio, primeiro avistamento e fotos são gravados de forma consistente.</t>
  </si>
  <si>
    <t>CT-64</t>
  </si>
  <si>
    <t>Simular falha durante criação do anúncio</t>
  </si>
  <si>
    <t>Crítica</t>
  </si>
  <si>
    <t>Operação é revertida e não deixa registros parciais.</t>
  </si>
  <si>
    <t>CT-65</t>
  </si>
  <si>
    <t>RN-27</t>
  </si>
  <si>
    <t>Executar migration uma única vez</t>
  </si>
  <si>
    <t>Migration cria/atualiza a estrutura esperada sem erros.</t>
  </si>
  <si>
    <t>CT-66</t>
  </si>
  <si>
    <t>Executar migration novamente</t>
  </si>
  <si>
    <t>Reexecução não duplica estrutura ou dados indevidamente.</t>
  </si>
  <si>
    <t>CT-67</t>
  </si>
  <si>
    <t>RN-04</t>
  </si>
  <si>
    <t>Criar anúncio sem nome do animal</t>
  </si>
  <si>
    <t>Sistema permite o cadastro sem exigir nome, conforme regra.</t>
  </si>
  <si>
    <t>CT-68</t>
  </si>
  <si>
    <t>RN-05</t>
  </si>
  <si>
    <t>Informar idade igual a 0 meses</t>
  </si>
  <si>
    <t>Valor 0 é aceito.</t>
  </si>
  <si>
    <t>CT-69</t>
  </si>
  <si>
    <t>Informar idade igual a 399 meses</t>
  </si>
  <si>
    <t>Valor 399 é aceito.</t>
  </si>
  <si>
    <t>CT-70</t>
  </si>
  <si>
    <t>Informar idade igual a 400 meses</t>
  </si>
  <si>
    <t>Valor 400 é rejeitado.</t>
  </si>
  <si>
    <t>Não é possível criar o anúncio, porém o usuário não entende qual o problema em questão, apenas é notificado que algo não está completo.</t>
  </si>
  <si>
    <t>CT-71</t>
  </si>
  <si>
    <t>Informar idade negativa</t>
  </si>
  <si>
    <t>Valor negativo é rejeitado.</t>
  </si>
  <si>
    <t>CT-72</t>
  </si>
  <si>
    <t>RN-15</t>
  </si>
  <si>
    <t>Informar raio de 499 m</t>
  </si>
  <si>
    <t>Valor abaixo do limite mínimo é rejeitado.</t>
  </si>
  <si>
    <t>CT-73</t>
  </si>
  <si>
    <t>Informar raio de 500 m</t>
  </si>
  <si>
    <t>Valor mínimo permitido é aceito.</t>
  </si>
  <si>
    <t>CT-74</t>
  </si>
  <si>
    <t>Informar raio de 50.000 m</t>
  </si>
  <si>
    <t>Valor máximo permitido é aceito.</t>
  </si>
  <si>
    <t>CT-75</t>
  </si>
  <si>
    <t>Informar raio de 50.001 m</t>
  </si>
  <si>
    <t>Valor acima do limite máximo é rejeitado.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</si>
</sst>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F3F3F3"/>
        <bgColor rgb="FFF3F3F3"/>
      </patternFill>
    </fill>
  </fills>
  <borders count="3">
    <border/>
    <border>
      <bottom style="thin">
        <color rgb="FFD9E1F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 vertical="top"/>
    </xf>
    <xf borderId="2" fillId="4" fontId="3" numFmtId="0" xfId="0" applyAlignment="1" applyBorder="1" applyFill="1" applyFont="1">
      <alignment horizontal="center" vertical="top"/>
    </xf>
    <xf borderId="0" fillId="0" fontId="4" numFmtId="0" xfId="0" applyFont="1"/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8.86"/>
    <col customWidth="1" min="3" max="3" width="55.0"/>
    <col customWidth="1" min="4" max="4" width="13.0"/>
    <col customWidth="1" min="5" max="5" width="55.0"/>
    <col customWidth="1" min="6" max="6" width="16.0"/>
    <col customWidth="1" hidden="1" min="7" max="7" width="30.0"/>
    <col customWidth="1" min="8" max="8" width="35.0"/>
    <col customWidth="1" min="9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ht="42.0" customHeight="1">
      <c r="A2" s="3" t="s">
        <v>10</v>
      </c>
      <c r="B2" s="5" t="s">
        <v>12</v>
      </c>
      <c r="C2" s="5" t="s">
        <v>13</v>
      </c>
      <c r="D2" s="3" t="s">
        <v>14</v>
      </c>
      <c r="E2" s="5" t="s">
        <v>15</v>
      </c>
      <c r="F2" s="6" t="s">
        <v>16</v>
      </c>
      <c r="G2" s="5"/>
      <c r="H2" s="5"/>
    </row>
    <row r="3" ht="42.0" customHeight="1">
      <c r="A3" s="3" t="s">
        <v>17</v>
      </c>
      <c r="B3" s="5" t="s">
        <v>12</v>
      </c>
      <c r="C3" s="5" t="s">
        <v>18</v>
      </c>
      <c r="D3" s="3" t="s">
        <v>14</v>
      </c>
      <c r="E3" s="5" t="s">
        <v>20</v>
      </c>
      <c r="F3" s="6" t="s">
        <v>16</v>
      </c>
      <c r="G3" s="5"/>
      <c r="H3" s="5"/>
    </row>
    <row r="4" ht="42.0" customHeight="1">
      <c r="A4" s="3" t="s">
        <v>21</v>
      </c>
      <c r="B4" s="5" t="s">
        <v>22</v>
      </c>
      <c r="C4" s="5" t="s">
        <v>24</v>
      </c>
      <c r="D4" s="3" t="s">
        <v>14</v>
      </c>
      <c r="E4" s="5" t="s">
        <v>25</v>
      </c>
      <c r="F4" s="6" t="s">
        <v>16</v>
      </c>
      <c r="G4" s="5"/>
      <c r="H4" s="5"/>
    </row>
    <row r="5" ht="42.0" customHeight="1">
      <c r="A5" s="3" t="s">
        <v>26</v>
      </c>
      <c r="B5" s="5" t="s">
        <v>22</v>
      </c>
      <c r="C5" s="5" t="s">
        <v>27</v>
      </c>
      <c r="D5" s="3" t="s">
        <v>28</v>
      </c>
      <c r="E5" s="5" t="s">
        <v>29</v>
      </c>
      <c r="F5" s="6" t="s">
        <v>16</v>
      </c>
      <c r="G5" s="5"/>
      <c r="H5" s="5"/>
    </row>
    <row r="6" ht="42.0" customHeight="1">
      <c r="A6" s="3" t="s">
        <v>30</v>
      </c>
      <c r="B6" s="5" t="s">
        <v>31</v>
      </c>
      <c r="C6" s="5" t="s">
        <v>32</v>
      </c>
      <c r="D6" s="3" t="s">
        <v>14</v>
      </c>
      <c r="E6" s="5" t="s">
        <v>33</v>
      </c>
      <c r="F6" s="6" t="s">
        <v>16</v>
      </c>
      <c r="G6" s="5"/>
      <c r="H6" s="5"/>
    </row>
    <row r="7" ht="42.0" customHeight="1">
      <c r="A7" s="3" t="s">
        <v>35</v>
      </c>
      <c r="B7" s="5" t="s">
        <v>36</v>
      </c>
      <c r="C7" s="5" t="s">
        <v>37</v>
      </c>
      <c r="D7" s="3" t="s">
        <v>14</v>
      </c>
      <c r="E7" s="5" t="s">
        <v>38</v>
      </c>
      <c r="F7" s="6" t="s">
        <v>16</v>
      </c>
      <c r="G7" s="5"/>
      <c r="H7" s="5"/>
    </row>
    <row r="8" ht="42.0" customHeight="1">
      <c r="A8" s="3" t="s">
        <v>39</v>
      </c>
      <c r="B8" s="5" t="s">
        <v>36</v>
      </c>
      <c r="C8" s="5" t="s">
        <v>40</v>
      </c>
      <c r="D8" s="3" t="s">
        <v>28</v>
      </c>
      <c r="E8" s="5" t="s">
        <v>41</v>
      </c>
      <c r="F8" s="6" t="s">
        <v>16</v>
      </c>
      <c r="G8" s="5"/>
      <c r="H8" s="5"/>
    </row>
    <row r="9" ht="42.0" customHeight="1">
      <c r="A9" s="3" t="s">
        <v>42</v>
      </c>
      <c r="B9" s="5" t="s">
        <v>43</v>
      </c>
      <c r="C9" s="5" t="s">
        <v>44</v>
      </c>
      <c r="D9" s="3" t="s">
        <v>28</v>
      </c>
      <c r="E9" s="5" t="s">
        <v>48</v>
      </c>
      <c r="F9" s="6" t="s">
        <v>16</v>
      </c>
      <c r="G9" s="5"/>
      <c r="H9" s="5"/>
    </row>
    <row r="10" ht="42.0" customHeight="1">
      <c r="A10" s="3" t="s">
        <v>49</v>
      </c>
      <c r="B10" s="5" t="s">
        <v>43</v>
      </c>
      <c r="C10" s="5" t="s">
        <v>50</v>
      </c>
      <c r="D10" s="3" t="s">
        <v>28</v>
      </c>
      <c r="E10" s="5" t="s">
        <v>52</v>
      </c>
      <c r="F10" s="6" t="s">
        <v>16</v>
      </c>
      <c r="G10" s="5"/>
      <c r="H10" s="5"/>
    </row>
    <row r="11" ht="42.0" customHeight="1">
      <c r="A11" s="3" t="s">
        <v>54</v>
      </c>
      <c r="B11" s="5" t="s">
        <v>43</v>
      </c>
      <c r="C11" s="5" t="s">
        <v>56</v>
      </c>
      <c r="D11" s="3" t="s">
        <v>14</v>
      </c>
      <c r="E11" s="5" t="s">
        <v>58</v>
      </c>
      <c r="F11" s="6" t="s">
        <v>16</v>
      </c>
      <c r="G11" s="5"/>
      <c r="H11" s="9" t="s">
        <v>60</v>
      </c>
    </row>
    <row r="12" ht="42.0" customHeight="1">
      <c r="A12" s="3" t="s">
        <v>61</v>
      </c>
      <c r="B12" s="5" t="s">
        <v>62</v>
      </c>
      <c r="C12" s="5" t="s">
        <v>63</v>
      </c>
      <c r="D12" s="3" t="s">
        <v>28</v>
      </c>
      <c r="E12" s="5" t="s">
        <v>64</v>
      </c>
      <c r="F12" s="6" t="s">
        <v>16</v>
      </c>
      <c r="G12" s="5"/>
      <c r="H12" s="5"/>
    </row>
    <row r="13" ht="42.0" customHeight="1">
      <c r="A13" s="3" t="s">
        <v>65</v>
      </c>
      <c r="B13" s="5" t="s">
        <v>62</v>
      </c>
      <c r="C13" s="5" t="s">
        <v>66</v>
      </c>
      <c r="D13" s="3" t="s">
        <v>28</v>
      </c>
      <c r="E13" s="5" t="s">
        <v>68</v>
      </c>
      <c r="F13" s="6" t="s">
        <v>16</v>
      </c>
      <c r="G13" s="5"/>
      <c r="H13" s="5"/>
    </row>
    <row r="14" ht="42.0" customHeight="1">
      <c r="A14" s="3" t="s">
        <v>69</v>
      </c>
      <c r="B14" s="5" t="s">
        <v>70</v>
      </c>
      <c r="C14" s="5" t="s">
        <v>71</v>
      </c>
      <c r="D14" s="3" t="s">
        <v>72</v>
      </c>
      <c r="E14" s="5" t="s">
        <v>73</v>
      </c>
      <c r="F14" s="6" t="s">
        <v>16</v>
      </c>
      <c r="G14" s="5"/>
      <c r="H14" s="5"/>
    </row>
    <row r="15" ht="42.0" customHeight="1">
      <c r="A15" s="3" t="s">
        <v>74</v>
      </c>
      <c r="B15" s="5" t="s">
        <v>70</v>
      </c>
      <c r="C15" s="5" t="s">
        <v>75</v>
      </c>
      <c r="D15" s="3" t="s">
        <v>28</v>
      </c>
      <c r="E15" s="5" t="s">
        <v>77</v>
      </c>
      <c r="F15" s="6" t="s">
        <v>16</v>
      </c>
      <c r="G15" s="5"/>
      <c r="H15" s="5"/>
    </row>
    <row r="16" ht="42.0" customHeight="1">
      <c r="A16" s="3" t="s">
        <v>78</v>
      </c>
      <c r="B16" s="5" t="s">
        <v>79</v>
      </c>
      <c r="C16" s="5" t="s">
        <v>80</v>
      </c>
      <c r="D16" s="3" t="s">
        <v>28</v>
      </c>
      <c r="E16" s="5" t="s">
        <v>81</v>
      </c>
      <c r="F16" s="6" t="s">
        <v>16</v>
      </c>
      <c r="G16" s="5"/>
      <c r="H16" s="5"/>
    </row>
    <row r="17" ht="42.0" customHeight="1">
      <c r="A17" s="3" t="s">
        <v>82</v>
      </c>
      <c r="B17" s="5" t="s">
        <v>79</v>
      </c>
      <c r="C17" s="5" t="s">
        <v>83</v>
      </c>
      <c r="D17" s="3" t="s">
        <v>14</v>
      </c>
      <c r="E17" s="5" t="s">
        <v>84</v>
      </c>
      <c r="F17" s="6" t="s">
        <v>16</v>
      </c>
      <c r="G17" s="5"/>
      <c r="H17" s="5"/>
    </row>
    <row r="18" ht="42.0" customHeight="1">
      <c r="A18" s="3" t="s">
        <v>86</v>
      </c>
      <c r="B18" s="5" t="s">
        <v>87</v>
      </c>
      <c r="C18" s="5" t="s">
        <v>88</v>
      </c>
      <c r="D18" s="3" t="s">
        <v>14</v>
      </c>
      <c r="E18" s="5" t="s">
        <v>89</v>
      </c>
      <c r="F18" s="6" t="s">
        <v>16</v>
      </c>
      <c r="G18" s="5"/>
      <c r="H18" s="5"/>
    </row>
    <row r="19" ht="42.0" customHeight="1">
      <c r="A19" s="3" t="s">
        <v>90</v>
      </c>
      <c r="B19" s="5" t="s">
        <v>91</v>
      </c>
      <c r="C19" s="5" t="s">
        <v>92</v>
      </c>
      <c r="D19" s="3" t="s">
        <v>14</v>
      </c>
      <c r="E19" s="5" t="s">
        <v>93</v>
      </c>
      <c r="F19" s="6" t="s">
        <v>16</v>
      </c>
      <c r="G19" s="5"/>
      <c r="H19" s="5"/>
    </row>
    <row r="20" ht="42.0" customHeight="1">
      <c r="A20" s="3" t="s">
        <v>94</v>
      </c>
      <c r="B20" s="5" t="s">
        <v>95</v>
      </c>
      <c r="C20" s="5" t="s">
        <v>96</v>
      </c>
      <c r="D20" s="3" t="s">
        <v>14</v>
      </c>
      <c r="E20" s="5" t="s">
        <v>97</v>
      </c>
      <c r="F20" s="6" t="s">
        <v>16</v>
      </c>
      <c r="G20" s="5"/>
      <c r="H20" s="5"/>
    </row>
    <row r="21" ht="42.0" customHeight="1">
      <c r="A21" s="3" t="s">
        <v>98</v>
      </c>
      <c r="B21" s="5" t="s">
        <v>95</v>
      </c>
      <c r="C21" s="5" t="s">
        <v>99</v>
      </c>
      <c r="D21" s="3" t="s">
        <v>14</v>
      </c>
      <c r="E21" s="5" t="s">
        <v>100</v>
      </c>
      <c r="F21" s="6" t="s">
        <v>16</v>
      </c>
      <c r="G21" s="5"/>
      <c r="H21" s="5"/>
    </row>
    <row r="22" ht="42.0" customHeight="1">
      <c r="A22" s="3" t="s">
        <v>101</v>
      </c>
      <c r="B22" s="5" t="s">
        <v>95</v>
      </c>
      <c r="C22" s="5" t="s">
        <v>102</v>
      </c>
      <c r="D22" s="3" t="s">
        <v>14</v>
      </c>
      <c r="E22" s="5" t="s">
        <v>103</v>
      </c>
      <c r="F22" s="6" t="s">
        <v>16</v>
      </c>
      <c r="G22" s="5"/>
      <c r="H22" s="5"/>
    </row>
    <row r="23" ht="42.0" customHeight="1">
      <c r="A23" s="3" t="s">
        <v>104</v>
      </c>
      <c r="B23" s="5" t="s">
        <v>105</v>
      </c>
      <c r="C23" s="5" t="s">
        <v>106</v>
      </c>
      <c r="D23" s="3" t="s">
        <v>14</v>
      </c>
      <c r="E23" s="5" t="s">
        <v>107</v>
      </c>
      <c r="F23" s="6" t="s">
        <v>16</v>
      </c>
      <c r="G23" s="5"/>
      <c r="H23" s="5"/>
    </row>
    <row r="24" ht="42.0" customHeight="1">
      <c r="A24" s="3" t="s">
        <v>108</v>
      </c>
      <c r="B24" s="5" t="s">
        <v>109</v>
      </c>
      <c r="C24" s="5" t="s">
        <v>110</v>
      </c>
      <c r="D24" s="3" t="s">
        <v>28</v>
      </c>
      <c r="E24" s="5" t="s">
        <v>111</v>
      </c>
      <c r="F24" s="3" t="s">
        <v>112</v>
      </c>
      <c r="G24" s="5"/>
      <c r="H24" s="5"/>
    </row>
    <row r="25" ht="42.0" customHeight="1">
      <c r="A25" s="3" t="s">
        <v>113</v>
      </c>
      <c r="B25" s="5" t="s">
        <v>109</v>
      </c>
      <c r="C25" s="5" t="s">
        <v>114</v>
      </c>
      <c r="D25" s="3" t="s">
        <v>28</v>
      </c>
      <c r="E25" s="5" t="s">
        <v>115</v>
      </c>
      <c r="F25" s="3" t="s">
        <v>112</v>
      </c>
      <c r="G25" s="5"/>
      <c r="H25" s="5"/>
    </row>
    <row r="26" ht="42.0" customHeight="1">
      <c r="A26" s="3" t="s">
        <v>116</v>
      </c>
      <c r="B26" s="5" t="s">
        <v>109</v>
      </c>
      <c r="C26" s="5" t="s">
        <v>117</v>
      </c>
      <c r="D26" s="3" t="s">
        <v>14</v>
      </c>
      <c r="E26" s="5" t="s">
        <v>118</v>
      </c>
      <c r="F26" s="3" t="s">
        <v>112</v>
      </c>
      <c r="G26" s="5"/>
      <c r="H26" s="5"/>
    </row>
    <row r="27" ht="42.0" customHeight="1">
      <c r="A27" s="3" t="s">
        <v>119</v>
      </c>
      <c r="B27" s="5" t="s">
        <v>109</v>
      </c>
      <c r="C27" s="5" t="s">
        <v>120</v>
      </c>
      <c r="D27" s="3" t="s">
        <v>14</v>
      </c>
      <c r="E27" s="5" t="s">
        <v>121</v>
      </c>
      <c r="F27" s="3" t="s">
        <v>112</v>
      </c>
      <c r="G27" s="5"/>
      <c r="H27" s="5"/>
    </row>
    <row r="28" ht="42.0" customHeight="1">
      <c r="A28" s="3" t="s">
        <v>122</v>
      </c>
      <c r="B28" s="5" t="s">
        <v>123</v>
      </c>
      <c r="C28" s="5" t="s">
        <v>124</v>
      </c>
      <c r="D28" s="3" t="s">
        <v>14</v>
      </c>
      <c r="E28" s="5" t="s">
        <v>125</v>
      </c>
      <c r="F28" s="3" t="s">
        <v>112</v>
      </c>
      <c r="G28" s="5"/>
      <c r="H28" s="5"/>
    </row>
    <row r="29" ht="42.0" customHeight="1">
      <c r="A29" s="3" t="s">
        <v>126</v>
      </c>
      <c r="B29" s="5" t="s">
        <v>123</v>
      </c>
      <c r="C29" s="5" t="s">
        <v>127</v>
      </c>
      <c r="D29" s="3" t="s">
        <v>28</v>
      </c>
      <c r="E29" s="5" t="s">
        <v>128</v>
      </c>
      <c r="F29" s="6" t="s">
        <v>16</v>
      </c>
      <c r="G29" s="5"/>
      <c r="H29" s="5"/>
    </row>
    <row r="30" ht="42.0" customHeight="1">
      <c r="A30" s="3" t="s">
        <v>129</v>
      </c>
      <c r="B30" s="5" t="s">
        <v>130</v>
      </c>
      <c r="C30" s="5" t="s">
        <v>131</v>
      </c>
      <c r="D30" s="3" t="s">
        <v>28</v>
      </c>
      <c r="E30" s="5" t="s">
        <v>132</v>
      </c>
      <c r="F30" s="6" t="s">
        <v>16</v>
      </c>
      <c r="G30" s="5"/>
      <c r="H30" s="5"/>
    </row>
    <row r="31" ht="42.0" customHeight="1">
      <c r="A31" s="3" t="s">
        <v>133</v>
      </c>
      <c r="B31" s="5" t="s">
        <v>134</v>
      </c>
      <c r="C31" s="5" t="s">
        <v>135</v>
      </c>
      <c r="D31" s="3" t="s">
        <v>28</v>
      </c>
      <c r="E31" s="5" t="s">
        <v>136</v>
      </c>
      <c r="F31" s="3" t="s">
        <v>112</v>
      </c>
      <c r="G31" s="5"/>
      <c r="H31" s="5"/>
    </row>
    <row r="32" ht="42.0" customHeight="1">
      <c r="A32" s="3" t="s">
        <v>137</v>
      </c>
      <c r="B32" s="5" t="s">
        <v>138</v>
      </c>
      <c r="C32" s="5" t="s">
        <v>139</v>
      </c>
      <c r="D32" s="3" t="s">
        <v>14</v>
      </c>
      <c r="E32" s="5" t="s">
        <v>140</v>
      </c>
      <c r="F32" s="6" t="s">
        <v>16</v>
      </c>
      <c r="G32" s="5"/>
      <c r="H32" s="5"/>
    </row>
    <row r="33" ht="42.0" customHeight="1">
      <c r="A33" s="3" t="s">
        <v>141</v>
      </c>
      <c r="B33" s="5" t="s">
        <v>142</v>
      </c>
      <c r="C33" s="5" t="s">
        <v>143</v>
      </c>
      <c r="D33" s="3" t="s">
        <v>72</v>
      </c>
      <c r="E33" s="5" t="s">
        <v>144</v>
      </c>
      <c r="F33" s="6" t="s">
        <v>16</v>
      </c>
      <c r="G33" s="5"/>
      <c r="H33" s="5"/>
    </row>
    <row r="34" ht="42.0" customHeight="1">
      <c r="A34" s="3" t="s">
        <v>145</v>
      </c>
      <c r="B34" s="5" t="s">
        <v>142</v>
      </c>
      <c r="C34" s="5" t="s">
        <v>146</v>
      </c>
      <c r="D34" s="3" t="s">
        <v>72</v>
      </c>
      <c r="E34" s="5" t="s">
        <v>147</v>
      </c>
      <c r="F34" s="6" t="s">
        <v>16</v>
      </c>
      <c r="G34" s="5"/>
      <c r="H34" s="5"/>
    </row>
    <row r="35" ht="42.0" customHeight="1">
      <c r="A35" s="3" t="s">
        <v>148</v>
      </c>
      <c r="B35" s="5" t="s">
        <v>142</v>
      </c>
      <c r="C35" s="5" t="s">
        <v>149</v>
      </c>
      <c r="D35" s="3" t="s">
        <v>72</v>
      </c>
      <c r="E35" s="5" t="s">
        <v>150</v>
      </c>
      <c r="F35" s="6" t="s">
        <v>16</v>
      </c>
      <c r="G35" s="5"/>
      <c r="H35" s="5"/>
    </row>
    <row r="36" ht="42.0" customHeight="1">
      <c r="A36" s="3" t="s">
        <v>151</v>
      </c>
      <c r="B36" s="5" t="s">
        <v>152</v>
      </c>
      <c r="C36" s="5" t="s">
        <v>153</v>
      </c>
      <c r="D36" s="3" t="s">
        <v>14</v>
      </c>
      <c r="E36" s="5" t="s">
        <v>154</v>
      </c>
      <c r="F36" s="6" t="s">
        <v>112</v>
      </c>
      <c r="G36" s="5"/>
      <c r="H36" s="5"/>
    </row>
    <row r="37" ht="42.0" customHeight="1">
      <c r="A37" s="3" t="s">
        <v>155</v>
      </c>
      <c r="B37" s="5" t="s">
        <v>156</v>
      </c>
      <c r="C37" s="5" t="s">
        <v>157</v>
      </c>
      <c r="D37" s="3" t="s">
        <v>28</v>
      </c>
      <c r="E37" s="5" t="s">
        <v>158</v>
      </c>
      <c r="F37" s="6" t="s">
        <v>112</v>
      </c>
      <c r="G37" s="5"/>
      <c r="H37" s="5"/>
    </row>
    <row r="38" ht="42.0" customHeight="1">
      <c r="A38" s="3" t="s">
        <v>159</v>
      </c>
      <c r="B38" s="5" t="s">
        <v>152</v>
      </c>
      <c r="C38" s="5" t="s">
        <v>160</v>
      </c>
      <c r="D38" s="3" t="s">
        <v>28</v>
      </c>
      <c r="E38" s="5" t="s">
        <v>161</v>
      </c>
      <c r="F38" s="6" t="s">
        <v>112</v>
      </c>
      <c r="G38" s="5"/>
      <c r="H38" s="5"/>
    </row>
    <row r="39" ht="42.0" customHeight="1">
      <c r="A39" s="3" t="s">
        <v>162</v>
      </c>
      <c r="B39" s="5" t="s">
        <v>163</v>
      </c>
      <c r="C39" s="5" t="s">
        <v>164</v>
      </c>
      <c r="D39" s="3" t="s">
        <v>14</v>
      </c>
      <c r="E39" s="5" t="s">
        <v>165</v>
      </c>
      <c r="F39" s="3" t="s">
        <v>112</v>
      </c>
      <c r="G39" s="5"/>
      <c r="H39" s="5"/>
    </row>
    <row r="40" ht="42.0" customHeight="1">
      <c r="A40" s="3" t="s">
        <v>166</v>
      </c>
      <c r="B40" s="5" t="s">
        <v>167</v>
      </c>
      <c r="C40" s="5" t="s">
        <v>168</v>
      </c>
      <c r="D40" s="3" t="s">
        <v>14</v>
      </c>
      <c r="E40" s="5" t="s">
        <v>169</v>
      </c>
      <c r="F40" s="6" t="s">
        <v>16</v>
      </c>
      <c r="G40" s="5"/>
      <c r="H40" s="5"/>
    </row>
    <row r="41" ht="42.0" customHeight="1">
      <c r="A41" s="3" t="s">
        <v>170</v>
      </c>
      <c r="B41" s="5" t="s">
        <v>171</v>
      </c>
      <c r="C41" s="5" t="s">
        <v>172</v>
      </c>
      <c r="D41" s="3" t="s">
        <v>14</v>
      </c>
      <c r="E41" s="5" t="s">
        <v>173</v>
      </c>
      <c r="F41" s="6" t="s">
        <v>16</v>
      </c>
      <c r="G41" s="5"/>
      <c r="H41" s="5"/>
    </row>
    <row r="42" ht="42.0" customHeight="1">
      <c r="A42" s="3" t="s">
        <v>174</v>
      </c>
      <c r="B42" s="5" t="s">
        <v>167</v>
      </c>
      <c r="C42" s="5" t="s">
        <v>175</v>
      </c>
      <c r="D42" s="3" t="s">
        <v>14</v>
      </c>
      <c r="E42" s="5" t="s">
        <v>176</v>
      </c>
      <c r="F42" s="6" t="s">
        <v>16</v>
      </c>
      <c r="G42" s="5"/>
      <c r="H42" s="5"/>
    </row>
    <row r="43" ht="42.0" customHeight="1">
      <c r="A43" s="3" t="s">
        <v>177</v>
      </c>
      <c r="B43" s="5" t="s">
        <v>167</v>
      </c>
      <c r="C43" s="5" t="s">
        <v>178</v>
      </c>
      <c r="D43" s="3" t="s">
        <v>14</v>
      </c>
      <c r="E43" s="5" t="s">
        <v>179</v>
      </c>
      <c r="F43" s="6" t="s">
        <v>16</v>
      </c>
      <c r="G43" s="5"/>
      <c r="H43" s="5"/>
    </row>
    <row r="44" ht="42.0" customHeight="1">
      <c r="A44" s="3" t="s">
        <v>180</v>
      </c>
      <c r="B44" s="5" t="s">
        <v>181</v>
      </c>
      <c r="C44" s="5" t="s">
        <v>182</v>
      </c>
      <c r="D44" s="3" t="s">
        <v>28</v>
      </c>
      <c r="E44" s="5" t="s">
        <v>183</v>
      </c>
      <c r="F44" s="6" t="s">
        <v>16</v>
      </c>
      <c r="G44" s="5"/>
      <c r="H44" s="5"/>
    </row>
    <row r="45" ht="42.0" customHeight="1">
      <c r="A45" s="3" t="s">
        <v>184</v>
      </c>
      <c r="B45" s="5" t="s">
        <v>181</v>
      </c>
      <c r="C45" s="5" t="s">
        <v>185</v>
      </c>
      <c r="D45" s="3" t="s">
        <v>28</v>
      </c>
      <c r="E45" s="5" t="s">
        <v>186</v>
      </c>
      <c r="F45" s="6" t="s">
        <v>16</v>
      </c>
      <c r="G45" s="5"/>
      <c r="H45" s="5"/>
    </row>
    <row r="46" ht="42.0" customHeight="1">
      <c r="A46" s="3" t="s">
        <v>187</v>
      </c>
      <c r="B46" s="5" t="s">
        <v>181</v>
      </c>
      <c r="C46" s="5" t="s">
        <v>188</v>
      </c>
      <c r="D46" s="3" t="s">
        <v>28</v>
      </c>
      <c r="E46" s="5" t="s">
        <v>189</v>
      </c>
      <c r="F46" s="6" t="s">
        <v>16</v>
      </c>
      <c r="G46" s="5"/>
      <c r="H46" s="5"/>
    </row>
    <row r="47" ht="42.0" customHeight="1">
      <c r="A47" s="3" t="s">
        <v>190</v>
      </c>
      <c r="B47" s="5" t="s">
        <v>191</v>
      </c>
      <c r="C47" s="5" t="s">
        <v>192</v>
      </c>
      <c r="D47" s="3" t="s">
        <v>14</v>
      </c>
      <c r="E47" s="5" t="s">
        <v>193</v>
      </c>
      <c r="F47" s="6" t="s">
        <v>16</v>
      </c>
      <c r="G47" s="5"/>
      <c r="H47" s="5"/>
    </row>
    <row r="48" ht="42.0" customHeight="1">
      <c r="A48" s="3" t="s">
        <v>194</v>
      </c>
      <c r="B48" s="5" t="s">
        <v>195</v>
      </c>
      <c r="C48" s="5" t="s">
        <v>196</v>
      </c>
      <c r="D48" s="3" t="s">
        <v>14</v>
      </c>
      <c r="E48" s="5" t="s">
        <v>197</v>
      </c>
      <c r="F48" s="6" t="s">
        <v>16</v>
      </c>
      <c r="G48" s="5"/>
      <c r="H48" s="5"/>
    </row>
    <row r="49" ht="42.0" customHeight="1">
      <c r="A49" s="3" t="s">
        <v>198</v>
      </c>
      <c r="B49" s="5" t="s">
        <v>199</v>
      </c>
      <c r="C49" s="5" t="s">
        <v>200</v>
      </c>
      <c r="D49" s="3" t="s">
        <v>14</v>
      </c>
      <c r="E49" s="5" t="s">
        <v>201</v>
      </c>
      <c r="F49" s="3" t="s">
        <v>112</v>
      </c>
      <c r="G49" s="5"/>
      <c r="H49" s="5"/>
    </row>
    <row r="50" ht="42.0" customHeight="1">
      <c r="A50" s="3" t="s">
        <v>202</v>
      </c>
      <c r="B50" s="5" t="s">
        <v>203</v>
      </c>
      <c r="C50" s="5" t="s">
        <v>204</v>
      </c>
      <c r="D50" s="3" t="s">
        <v>28</v>
      </c>
      <c r="E50" s="5" t="s">
        <v>205</v>
      </c>
      <c r="F50" s="3" t="s">
        <v>112</v>
      </c>
      <c r="G50" s="5"/>
      <c r="H50" s="5"/>
    </row>
    <row r="51" ht="42.0" customHeight="1">
      <c r="A51" s="3" t="s">
        <v>206</v>
      </c>
      <c r="B51" s="5" t="s">
        <v>199</v>
      </c>
      <c r="C51" s="5" t="s">
        <v>207</v>
      </c>
      <c r="D51" s="3" t="s">
        <v>28</v>
      </c>
      <c r="E51" s="5" t="s">
        <v>208</v>
      </c>
      <c r="F51" s="3" t="s">
        <v>112</v>
      </c>
      <c r="G51" s="5"/>
      <c r="H51" s="5"/>
    </row>
    <row r="52" ht="42.0" customHeight="1">
      <c r="A52" s="3" t="s">
        <v>209</v>
      </c>
      <c r="B52" s="5" t="s">
        <v>210</v>
      </c>
      <c r="C52" s="5" t="s">
        <v>211</v>
      </c>
      <c r="D52" s="3" t="s">
        <v>14</v>
      </c>
      <c r="E52" s="5" t="s">
        <v>212</v>
      </c>
      <c r="F52" s="3" t="s">
        <v>112</v>
      </c>
      <c r="G52" s="5"/>
      <c r="H52" s="5"/>
    </row>
    <row r="53" ht="42.0" customHeight="1">
      <c r="A53" s="3" t="s">
        <v>213</v>
      </c>
      <c r="B53" s="5" t="s">
        <v>210</v>
      </c>
      <c r="C53" s="5" t="s">
        <v>214</v>
      </c>
      <c r="D53" s="3" t="s">
        <v>14</v>
      </c>
      <c r="E53" s="5" t="s">
        <v>215</v>
      </c>
      <c r="F53" s="3" t="s">
        <v>112</v>
      </c>
      <c r="G53" s="5"/>
      <c r="H53" s="5"/>
    </row>
    <row r="54" ht="42.0" customHeight="1">
      <c r="A54" s="3" t="s">
        <v>216</v>
      </c>
      <c r="B54" s="5" t="s">
        <v>217</v>
      </c>
      <c r="C54" s="5" t="s">
        <v>218</v>
      </c>
      <c r="D54" s="3" t="s">
        <v>28</v>
      </c>
      <c r="E54" s="5" t="s">
        <v>219</v>
      </c>
      <c r="F54" s="3" t="s">
        <v>112</v>
      </c>
      <c r="G54" s="5"/>
      <c r="H54" s="5"/>
    </row>
    <row r="55" ht="42.0" customHeight="1">
      <c r="A55" s="3" t="s">
        <v>220</v>
      </c>
      <c r="B55" s="5" t="s">
        <v>221</v>
      </c>
      <c r="C55" s="5" t="s">
        <v>222</v>
      </c>
      <c r="D55" s="3" t="s">
        <v>28</v>
      </c>
      <c r="E55" s="5" t="s">
        <v>223</v>
      </c>
      <c r="F55" s="6" t="s">
        <v>16</v>
      </c>
      <c r="G55" s="5"/>
      <c r="H55" s="5"/>
    </row>
    <row r="56" ht="42.0" customHeight="1">
      <c r="A56" s="3" t="s">
        <v>224</v>
      </c>
      <c r="B56" s="5" t="s">
        <v>221</v>
      </c>
      <c r="C56" s="5" t="s">
        <v>225</v>
      </c>
      <c r="D56" s="3" t="s">
        <v>28</v>
      </c>
      <c r="E56" s="5" t="s">
        <v>226</v>
      </c>
      <c r="F56" s="6" t="s">
        <v>16</v>
      </c>
      <c r="G56" s="5"/>
      <c r="H56" s="5"/>
    </row>
    <row r="57" ht="42.0" customHeight="1">
      <c r="A57" s="3" t="s">
        <v>227</v>
      </c>
      <c r="B57" s="5" t="s">
        <v>228</v>
      </c>
      <c r="C57" s="5" t="s">
        <v>229</v>
      </c>
      <c r="D57" s="3" t="s">
        <v>28</v>
      </c>
      <c r="E57" s="5" t="s">
        <v>230</v>
      </c>
      <c r="F57" s="3" t="s">
        <v>112</v>
      </c>
      <c r="G57" s="5"/>
      <c r="H57" s="5"/>
    </row>
    <row r="58" ht="42.0" customHeight="1">
      <c r="A58" s="3" t="s">
        <v>231</v>
      </c>
      <c r="B58" s="5" t="s">
        <v>232</v>
      </c>
      <c r="C58" s="5" t="s">
        <v>233</v>
      </c>
      <c r="D58" s="3" t="s">
        <v>28</v>
      </c>
      <c r="E58" s="5" t="s">
        <v>234</v>
      </c>
      <c r="F58" s="3" t="s">
        <v>112</v>
      </c>
      <c r="G58" s="5"/>
      <c r="H58" s="5"/>
    </row>
    <row r="59" ht="42.0" customHeight="1">
      <c r="A59" s="3" t="s">
        <v>235</v>
      </c>
      <c r="B59" s="5" t="s">
        <v>232</v>
      </c>
      <c r="C59" s="5" t="s">
        <v>236</v>
      </c>
      <c r="D59" s="3" t="s">
        <v>28</v>
      </c>
      <c r="E59" s="5" t="s">
        <v>237</v>
      </c>
      <c r="F59" s="3" t="s">
        <v>112</v>
      </c>
      <c r="G59" s="5"/>
      <c r="H59" s="5"/>
    </row>
    <row r="60" ht="42.0" customHeight="1">
      <c r="A60" s="3" t="s">
        <v>238</v>
      </c>
      <c r="B60" s="5" t="s">
        <v>232</v>
      </c>
      <c r="C60" s="5" t="s">
        <v>239</v>
      </c>
      <c r="D60" s="3" t="s">
        <v>28</v>
      </c>
      <c r="E60" s="5" t="s">
        <v>240</v>
      </c>
      <c r="F60" s="3" t="s">
        <v>112</v>
      </c>
      <c r="G60" s="5"/>
      <c r="H60" s="5"/>
    </row>
    <row r="61" ht="42.0" customHeight="1">
      <c r="A61" s="3" t="s">
        <v>241</v>
      </c>
      <c r="B61" s="5" t="s">
        <v>232</v>
      </c>
      <c r="C61" s="5" t="s">
        <v>242</v>
      </c>
      <c r="D61" s="3" t="s">
        <v>14</v>
      </c>
      <c r="E61" s="5" t="s">
        <v>243</v>
      </c>
      <c r="F61" s="6" t="s">
        <v>16</v>
      </c>
      <c r="G61" s="5"/>
      <c r="H61" s="5"/>
    </row>
    <row r="62" ht="42.0" customHeight="1">
      <c r="A62" s="3" t="s">
        <v>244</v>
      </c>
      <c r="B62" s="5" t="s">
        <v>245</v>
      </c>
      <c r="C62" s="5" t="s">
        <v>246</v>
      </c>
      <c r="D62" s="3" t="s">
        <v>14</v>
      </c>
      <c r="E62" s="5" t="s">
        <v>247</v>
      </c>
      <c r="F62" s="3" t="s">
        <v>112</v>
      </c>
      <c r="G62" s="5"/>
      <c r="H62" s="5"/>
    </row>
    <row r="63" ht="42.0" customHeight="1">
      <c r="A63" s="3" t="s">
        <v>248</v>
      </c>
      <c r="B63" s="5" t="s">
        <v>245</v>
      </c>
      <c r="C63" s="5" t="s">
        <v>249</v>
      </c>
      <c r="D63" s="3" t="s">
        <v>28</v>
      </c>
      <c r="E63" s="5" t="s">
        <v>250</v>
      </c>
      <c r="F63" s="3" t="s">
        <v>112</v>
      </c>
      <c r="G63" s="5"/>
      <c r="H63" s="5"/>
    </row>
    <row r="64" ht="42.0" customHeight="1">
      <c r="A64" s="3" t="s">
        <v>251</v>
      </c>
      <c r="B64" s="5" t="s">
        <v>252</v>
      </c>
      <c r="C64" s="5" t="s">
        <v>253</v>
      </c>
      <c r="D64" s="3" t="s">
        <v>14</v>
      </c>
      <c r="E64" s="5" t="s">
        <v>254</v>
      </c>
      <c r="F64" s="6" t="s">
        <v>16</v>
      </c>
      <c r="G64" s="5"/>
      <c r="H64" s="5"/>
    </row>
    <row r="65" ht="42.0" customHeight="1">
      <c r="A65" s="3" t="s">
        <v>255</v>
      </c>
      <c r="B65" s="5" t="s">
        <v>252</v>
      </c>
      <c r="C65" s="5" t="s">
        <v>256</v>
      </c>
      <c r="D65" s="3" t="s">
        <v>257</v>
      </c>
      <c r="E65" s="5" t="s">
        <v>258</v>
      </c>
      <c r="F65" s="6" t="s">
        <v>16</v>
      </c>
      <c r="G65" s="5"/>
      <c r="H65" s="5"/>
    </row>
    <row r="66" ht="42.0" customHeight="1">
      <c r="A66" s="3" t="s">
        <v>259</v>
      </c>
      <c r="B66" s="5" t="s">
        <v>260</v>
      </c>
      <c r="C66" s="5" t="s">
        <v>261</v>
      </c>
      <c r="D66" s="3" t="s">
        <v>28</v>
      </c>
      <c r="E66" s="5" t="s">
        <v>262</v>
      </c>
      <c r="F66" s="6" t="s">
        <v>112</v>
      </c>
      <c r="G66" s="5"/>
      <c r="H66" s="5"/>
    </row>
    <row r="67" ht="42.0" customHeight="1">
      <c r="A67" s="3" t="s">
        <v>263</v>
      </c>
      <c r="B67" s="5" t="s">
        <v>260</v>
      </c>
      <c r="C67" s="5" t="s">
        <v>264</v>
      </c>
      <c r="D67" s="3" t="s">
        <v>14</v>
      </c>
      <c r="E67" s="5" t="s">
        <v>265</v>
      </c>
      <c r="F67" s="6" t="s">
        <v>112</v>
      </c>
      <c r="G67" s="5"/>
      <c r="H67" s="5"/>
    </row>
    <row r="68" ht="42.0" customHeight="1">
      <c r="A68" s="3" t="s">
        <v>266</v>
      </c>
      <c r="B68" s="5" t="s">
        <v>267</v>
      </c>
      <c r="C68" s="5" t="s">
        <v>268</v>
      </c>
      <c r="D68" s="3" t="s">
        <v>14</v>
      </c>
      <c r="E68" s="5" t="s">
        <v>269</v>
      </c>
      <c r="F68" s="6" t="s">
        <v>16</v>
      </c>
      <c r="G68" s="5"/>
      <c r="H68" s="5"/>
    </row>
    <row r="69" ht="42.0" customHeight="1">
      <c r="A69" s="3" t="s">
        <v>270</v>
      </c>
      <c r="B69" s="5" t="s">
        <v>271</v>
      </c>
      <c r="C69" s="5" t="s">
        <v>272</v>
      </c>
      <c r="D69" s="3" t="s">
        <v>28</v>
      </c>
      <c r="E69" s="5" t="s">
        <v>273</v>
      </c>
      <c r="F69" s="6" t="s">
        <v>16</v>
      </c>
      <c r="G69" s="5"/>
      <c r="H69" s="5"/>
    </row>
    <row r="70" ht="42.0" customHeight="1">
      <c r="A70" s="3" t="s">
        <v>274</v>
      </c>
      <c r="B70" s="5" t="s">
        <v>271</v>
      </c>
      <c r="C70" s="5" t="s">
        <v>275</v>
      </c>
      <c r="D70" s="3" t="s">
        <v>28</v>
      </c>
      <c r="E70" s="5" t="s">
        <v>276</v>
      </c>
      <c r="F70" s="6" t="s">
        <v>16</v>
      </c>
      <c r="G70" s="5"/>
      <c r="H70" s="5"/>
    </row>
    <row r="71" ht="42.0" customHeight="1">
      <c r="A71" s="3" t="s">
        <v>277</v>
      </c>
      <c r="B71" s="5" t="s">
        <v>271</v>
      </c>
      <c r="C71" s="5" t="s">
        <v>278</v>
      </c>
      <c r="D71" s="3" t="s">
        <v>14</v>
      </c>
      <c r="E71" s="5" t="s">
        <v>279</v>
      </c>
      <c r="F71" s="6" t="s">
        <v>16</v>
      </c>
      <c r="G71" s="5"/>
      <c r="H71" s="10" t="s">
        <v>280</v>
      </c>
    </row>
    <row r="72" ht="42.0" customHeight="1">
      <c r="A72" s="3" t="s">
        <v>281</v>
      </c>
      <c r="B72" s="5" t="s">
        <v>271</v>
      </c>
      <c r="C72" s="5" t="s">
        <v>282</v>
      </c>
      <c r="D72" s="3" t="s">
        <v>14</v>
      </c>
      <c r="E72" s="5" t="s">
        <v>283</v>
      </c>
      <c r="F72" s="6" t="s">
        <v>16</v>
      </c>
      <c r="G72" s="5"/>
      <c r="H72" s="10" t="s">
        <v>280</v>
      </c>
    </row>
    <row r="73" ht="42.0" customHeight="1">
      <c r="A73" s="3" t="s">
        <v>284</v>
      </c>
      <c r="B73" s="5" t="s">
        <v>285</v>
      </c>
      <c r="C73" s="5" t="s">
        <v>286</v>
      </c>
      <c r="D73" s="3" t="s">
        <v>14</v>
      </c>
      <c r="E73" s="5" t="s">
        <v>287</v>
      </c>
      <c r="F73" s="6" t="s">
        <v>16</v>
      </c>
      <c r="G73" s="5"/>
      <c r="H73" s="10" t="s">
        <v>280</v>
      </c>
    </row>
    <row r="74" ht="42.0" customHeight="1">
      <c r="A74" s="3" t="s">
        <v>288</v>
      </c>
      <c r="B74" s="5" t="s">
        <v>285</v>
      </c>
      <c r="C74" s="5" t="s">
        <v>289</v>
      </c>
      <c r="D74" s="3" t="s">
        <v>28</v>
      </c>
      <c r="E74" s="5" t="s">
        <v>290</v>
      </c>
      <c r="F74" s="3" t="s">
        <v>112</v>
      </c>
      <c r="G74" s="5"/>
      <c r="H74" s="5"/>
    </row>
    <row r="75" ht="42.0" customHeight="1">
      <c r="A75" s="3" t="s">
        <v>291</v>
      </c>
      <c r="B75" s="5" t="s">
        <v>285</v>
      </c>
      <c r="C75" s="5" t="s">
        <v>292</v>
      </c>
      <c r="D75" s="3" t="s">
        <v>28</v>
      </c>
      <c r="E75" s="5" t="s">
        <v>293</v>
      </c>
      <c r="F75" s="3" t="s">
        <v>112</v>
      </c>
      <c r="G75" s="5"/>
      <c r="H75" s="5"/>
    </row>
    <row r="76" ht="42.0" customHeight="1">
      <c r="A76" s="3" t="s">
        <v>294</v>
      </c>
      <c r="B76" s="5" t="s">
        <v>285</v>
      </c>
      <c r="C76" s="5" t="s">
        <v>295</v>
      </c>
      <c r="D76" s="3" t="s">
        <v>14</v>
      </c>
      <c r="E76" s="5" t="s">
        <v>296</v>
      </c>
      <c r="F76" s="3" t="s">
        <v>112</v>
      </c>
      <c r="G76" s="5"/>
      <c r="H76" s="5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76">
    <sortState ref="A1:H76">
      <sortCondition ref="A1:A76"/>
      <sortCondition descending="1" sortBy="cellColor" ref="F1:F76" dxfId="1"/>
    </sortState>
  </autoFilter>
  <conditionalFormatting sqref="F2:F76">
    <cfRule type="expression" dxfId="2" priority="1">
      <formula>F2="Falhou"</formula>
    </cfRule>
  </conditionalFormatting>
  <conditionalFormatting sqref="F2:F76">
    <cfRule type="expression" dxfId="3" priority="2">
      <formula>F2="Passou"</formula>
    </cfRule>
  </conditionalFormatting>
  <conditionalFormatting sqref="F2:F76">
    <cfRule type="expression" dxfId="4" priority="3">
      <formula>F2="Bloqueado"</formula>
    </cfRule>
  </conditionalFormatting>
  <conditionalFormatting sqref="D2:D76">
    <cfRule type="expression" dxfId="5" priority="4">
      <formula>D2="Crítica"</formula>
    </cfRule>
  </conditionalFormatting>
  <conditionalFormatting sqref="D2:D76">
    <cfRule type="expression" dxfId="2" priority="5">
      <formula>D2="Alta"</formula>
    </cfRule>
  </conditionalFormatting>
  <dataValidations>
    <dataValidation type="list" allowBlank="1" sqref="F2:F76">
      <formula1>"Pendente,Passou,Falhou,Bloqueado,N/A"</formula1>
    </dataValidation>
    <dataValidation type="list" allowBlank="1" sqref="D2:D76">
      <formula1>"Crítica,Alta,Média,Baixa"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26" width="8.71"/>
  </cols>
  <sheetData>
    <row r="1">
      <c r="A1" s="2" t="s">
        <v>1</v>
      </c>
      <c r="B1" s="2" t="s">
        <v>9</v>
      </c>
    </row>
    <row r="2">
      <c r="A2" s="4" t="s">
        <v>11</v>
      </c>
      <c r="B2" s="4">
        <f>COUNTA('Matriz de Testes'!A2:A76)</f>
        <v>75</v>
      </c>
    </row>
    <row r="3">
      <c r="A3" s="4" t="s">
        <v>19</v>
      </c>
      <c r="B3" s="4">
        <f>COUNTIF('Matriz de Testes'!D2:D76,"Crítica")</f>
        <v>1</v>
      </c>
    </row>
    <row r="4">
      <c r="A4" s="4" t="s">
        <v>34</v>
      </c>
      <c r="B4" s="4">
        <f>COUNTIF('Matriz de Testes'!D2:D76,"Alta")</f>
        <v>37</v>
      </c>
    </row>
    <row r="5">
      <c r="A5" s="4" t="s">
        <v>46</v>
      </c>
      <c r="B5" s="4">
        <f>COUNTIF('Matriz de Testes'!D2:D76,"Média")</f>
        <v>33</v>
      </c>
    </row>
    <row r="6">
      <c r="A6" s="4" t="s">
        <v>59</v>
      </c>
      <c r="B6" s="4">
        <f>COUNTIF('Matriz de Testes'!D2:D76,"Baixa")</f>
        <v>4</v>
      </c>
    </row>
    <row r="7">
      <c r="A7" s="4" t="s">
        <v>67</v>
      </c>
      <c r="B7" s="4">
        <f>COUNTIF('Matriz de Testes'!F2:F76,"Pendente")</f>
        <v>27</v>
      </c>
    </row>
    <row r="8">
      <c r="A8" s="4" t="s">
        <v>76</v>
      </c>
      <c r="B8" s="4">
        <f>COUNTIF('Matriz de Testes'!F2:F76,"Passou")</f>
        <v>48</v>
      </c>
    </row>
    <row r="9">
      <c r="A9" s="4" t="s">
        <v>85</v>
      </c>
      <c r="B9" s="4">
        <f>COUNTIF('Matriz de Testes'!F2:F76,"Falhou")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40.86"/>
    <col customWidth="1" min="3" max="3" width="37.29"/>
    <col customWidth="1" min="4" max="26" width="8.71"/>
  </cols>
  <sheetData>
    <row r="1">
      <c r="A1" s="7" t="s">
        <v>23</v>
      </c>
      <c r="B1" s="7" t="s">
        <v>45</v>
      </c>
      <c r="C1" s="7" t="s">
        <v>47</v>
      </c>
    </row>
    <row r="2">
      <c r="A2" s="8" t="s">
        <v>6</v>
      </c>
      <c r="B2" s="8" t="s">
        <v>51</v>
      </c>
      <c r="C2" s="8" t="s">
        <v>53</v>
      </c>
    </row>
    <row r="3">
      <c r="A3" s="8" t="s">
        <v>4</v>
      </c>
      <c r="B3" s="8" t="s">
        <v>55</v>
      </c>
      <c r="C3" s="8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